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elody Grace Soo\Downloads\"/>
    </mc:Choice>
  </mc:AlternateContent>
  <xr:revisionPtr revIDLastSave="0" documentId="13_ncr:1_{1EF246D5-AB4D-4D32-A810-DDF30B7A699B}" xr6:coauthVersionLast="47" xr6:coauthVersionMax="47" xr10:uidLastSave="{00000000-0000-0000-0000-000000000000}"/>
  <bookViews>
    <workbookView xWindow="1215" yWindow="0" windowWidth="15015" windowHeight="15585" tabRatio="500" firstSheet="2" activeTab="2" xr2:uid="{00000000-000D-0000-FFFF-FFFF00000000}"/>
  </bookViews>
  <sheets>
    <sheet name="Assumptions" sheetId="1" r:id="rId1"/>
    <sheet name="Canon PIXMA G3770" sheetId="2" r:id="rId2"/>
    <sheet name="HP LaserJet Pro 3303fdw" sheetId="3" r:id="rId3"/>
    <sheet name="Summary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2" l="1"/>
  <c r="G14" i="3"/>
  <c r="E12" i="3"/>
  <c r="E11" i="3"/>
  <c r="E10" i="3"/>
  <c r="G5" i="3"/>
  <c r="G14" i="2"/>
  <c r="C5" i="4" s="1"/>
  <c r="E12" i="2"/>
  <c r="E11" i="2"/>
  <c r="E10" i="2"/>
  <c r="G5" i="2"/>
  <c r="C24" i="1"/>
  <c r="C19" i="1"/>
  <c r="C22" i="1" s="1"/>
  <c r="F6" i="2" l="1"/>
  <c r="G6" i="2" s="1"/>
  <c r="F6" i="3"/>
  <c r="G6" i="3" s="1"/>
  <c r="C26" i="1"/>
  <c r="C23" i="1"/>
  <c r="D5" i="4"/>
  <c r="C25" i="1"/>
  <c r="C20" i="1"/>
  <c r="C21" i="1" l="1"/>
  <c r="F10" i="2"/>
  <c r="G10" i="2" s="1"/>
  <c r="F10" i="3"/>
  <c r="G10" i="3" s="1"/>
  <c r="F12" i="3"/>
  <c r="G12" i="3" s="1"/>
  <c r="F12" i="2"/>
  <c r="G12" i="2" s="1"/>
  <c r="F11" i="2"/>
  <c r="G11" i="2" s="1"/>
  <c r="F11" i="3"/>
  <c r="G11" i="3" s="1"/>
  <c r="F8" i="3"/>
  <c r="G8" i="3" s="1"/>
  <c r="F7" i="2"/>
  <c r="G7" i="2" s="1"/>
  <c r="G15" i="2" s="1"/>
  <c r="F7" i="3"/>
  <c r="G7" i="3" s="1"/>
  <c r="G15" i="3" s="1"/>
  <c r="F9" i="3"/>
  <c r="G9" i="3" s="1"/>
  <c r="F8" i="2"/>
  <c r="G8" i="2" s="1"/>
  <c r="F9" i="2"/>
  <c r="G9" i="2" s="1"/>
  <c r="C6" i="4" l="1"/>
  <c r="C10" i="4" s="1"/>
  <c r="D6" i="4"/>
  <c r="G16" i="3"/>
  <c r="D7" i="4" l="1"/>
  <c r="G17" i="3"/>
  <c r="D8" i="4" s="1"/>
  <c r="C7" i="4"/>
  <c r="G17" i="2"/>
  <c r="C8" i="4" s="1"/>
</calcChain>
</file>

<file path=xl/sharedStrings.xml><?xml version="1.0" encoding="utf-8"?>
<sst xmlns="http://schemas.openxmlformats.org/spreadsheetml/2006/main" count="85" uniqueCount="55">
  <si>
    <t>TCO Analysis — Assumptions</t>
  </si>
  <si>
    <t>Canon PIXMA G3770 (Inkjet) vs HP Color LaserJet Pro MFP 3303fdw (Laser)</t>
  </si>
  <si>
    <t>Assumption</t>
  </si>
  <si>
    <t>Value</t>
  </si>
  <si>
    <t>Comparison period (years)</t>
  </si>
  <si>
    <t>Pages printed per week</t>
  </si>
  <si>
    <t>Weeks per year</t>
  </si>
  <si>
    <t>Power-on time per week (hours)</t>
  </si>
  <si>
    <t>Colour / B&amp;W page split</t>
  </si>
  <si>
    <t>Electricity rate (S$ per kWh)</t>
  </si>
  <si>
    <t>Paper price per ream (500 sheets, S$)</t>
  </si>
  <si>
    <t>Sheets per ream</t>
  </si>
  <si>
    <t>% of powered-on time actively printing</t>
  </si>
  <si>
    <t>Derived Totals</t>
  </si>
  <si>
    <t>Total pages over comparison period</t>
  </si>
  <si>
    <t>Reams of paper needed</t>
  </si>
  <si>
    <t>Total paper cost (same for both printers)</t>
  </si>
  <si>
    <t>Black &amp; white pages</t>
  </si>
  <si>
    <t>Colour pages</t>
  </si>
  <si>
    <t>Total powered-on hours over period</t>
  </si>
  <si>
    <t>Estimated active-printing hours</t>
  </si>
  <si>
    <t>Estimated idle/ready hours</t>
  </si>
  <si>
    <t>TCO Breakdown — Canon PIXMA G3770 (Inkjet)</t>
  </si>
  <si>
    <t>#</t>
  </si>
  <si>
    <t>Item Description</t>
  </si>
  <si>
    <t>Type</t>
  </si>
  <si>
    <t>Unit Price (S$)</t>
  </si>
  <si>
    <t>Units Consumed</t>
  </si>
  <si>
    <t>Total Cost (S$)</t>
  </si>
  <si>
    <t>Printer unit</t>
  </si>
  <si>
    <t>Fixed</t>
  </si>
  <si>
    <t>Black ink/toner cartridge</t>
  </si>
  <si>
    <t>Variable</t>
  </si>
  <si>
    <t>Cyan ink/toner cartridge</t>
  </si>
  <si>
    <t>Magenta ink/toner cartridge</t>
  </si>
  <si>
    <t>Yellow ink/toner cartridge</t>
  </si>
  <si>
    <t>A4 Paper (80gsm, 500 sheets/ream)</t>
  </si>
  <si>
    <t>Electricity — active printing (16W)</t>
  </si>
  <si>
    <t>Electricity — idle/ready (0.6W)</t>
  </si>
  <si>
    <t>Total Fixed Costs</t>
  </si>
  <si>
    <t>Total Variable Costs</t>
  </si>
  <si>
    <t>GRAND TOTAL — TCO over 5 years</t>
  </si>
  <si>
    <t>Cost per Page</t>
  </si>
  <si>
    <t>TCO Breakdown — HP Color LaserJet Pro MFP 3303fdw (Laser)</t>
  </si>
  <si>
    <t>Electricity — active printing (416W)</t>
  </si>
  <si>
    <t>Electricity — idle/ready (7.6W)</t>
  </si>
  <si>
    <t>TCO Summary — Canon vs HP (5-Year Comparison)</t>
  </si>
  <si>
    <t>Metric</t>
  </si>
  <si>
    <t>Canon PIXMA G3770</t>
  </si>
  <si>
    <t>HP LaserJet Pro 3303fdw</t>
  </si>
  <si>
    <t>Fixed Costs (S$)</t>
  </si>
  <si>
    <t>Variable Costs (S$)</t>
  </si>
  <si>
    <t>Grand Total TCO (S$)</t>
  </si>
  <si>
    <t>Cost per Page (S$)</t>
  </si>
  <si>
    <t>Lower-TCO printer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</si>
</sst>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00"/>
    <numFmt numFmtId="165" formatCode="\$#,##0.00"/>
    <numFmt numFmtId="166" formatCode="#,##0.0"/>
  </numFmts>
  <fonts count="9" x14ac:knownFonts="1">
    <font>
      <sz val="11"/>
      <color theme="1"/>
      <name val="Calibri"/>
      <family val="2"/>
      <charset val="1"/>
    </font>
    <font>
      <b/>
      <sz val="14"/>
      <color rgb="FF2F5597"/>
      <name val="Arial"/>
      <charset val="1"/>
    </font>
    <font>
      <i/>
      <sz val="10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i/>
      <sz val="9"/>
      <color rgb="FF808080"/>
      <name val="Arial"/>
      <charset val="1"/>
    </font>
    <font>
      <sz val="11"/>
      <color rgb="FF000000"/>
      <name val="Arial"/>
      <charset val="1"/>
    </font>
    <font>
      <b/>
      <sz val="11"/>
      <name val="Arial"/>
      <charset val="1"/>
    </font>
    <font>
      <b/>
      <sz val="1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666699"/>
      </patternFill>
    </fill>
    <fill>
      <patternFill patternType="solid">
        <fgColor rgb="FFD9E1F2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7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3" fontId="6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165" fontId="7" fillId="0" borderId="1" xfId="0" applyNumberFormat="1" applyFont="1" applyBorder="1" applyAlignment="1">
      <alignment horizontal="center" vertical="center" wrapText="1"/>
    </xf>
    <xf numFmtId="165" fontId="8" fillId="3" borderId="1" xfId="0" applyNumberFormat="1" applyFont="1" applyFill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top" wrapText="1"/>
    </xf>
    <xf numFmtId="0" fontId="7" fillId="0" borderId="0" xfId="0" applyFont="1"/>
    <xf numFmtId="0" fontId="8" fillId="0" borderId="0" xfId="0" applyFont="1"/>
    <xf numFmtId="0" fontId="6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6"/>
  <sheetViews>
    <sheetView showGridLines="0" zoomScaleNormal="100" workbookViewId="0">
      <selection activeCell="K23" sqref="K23"/>
    </sheetView>
  </sheetViews>
  <sheetFormatPr defaultColWidth="8.7109375" defaultRowHeight="15" x14ac:dyDescent="0.25"/>
  <cols>
    <col min="1" max="1" width="3" customWidth="1"/>
    <col min="2" max="2" width="52" customWidth="1"/>
    <col min="3" max="3" width="16" customWidth="1"/>
    <col min="4" max="4" width="3" customWidth="1"/>
  </cols>
  <sheetData>
    <row r="2" spans="2:4" ht="18" x14ac:dyDescent="0.25">
      <c r="B2" s="19" t="s">
        <v>0</v>
      </c>
      <c r="C2" s="19"/>
      <c r="D2" s="19"/>
    </row>
    <row r="4" spans="2:4" x14ac:dyDescent="0.25">
      <c r="B4" s="20" t="s">
        <v>1</v>
      </c>
      <c r="C4" s="20"/>
      <c r="D4" s="20"/>
    </row>
    <row r="6" spans="2:4" x14ac:dyDescent="0.25">
      <c r="B6" s="2" t="s">
        <v>2</v>
      </c>
      <c r="C6" s="2" t="s">
        <v>3</v>
      </c>
    </row>
    <row r="7" spans="2:4" x14ac:dyDescent="0.25">
      <c r="B7" s="3" t="s">
        <v>4</v>
      </c>
      <c r="C7" s="4">
        <v>5</v>
      </c>
    </row>
    <row r="8" spans="2:4" x14ac:dyDescent="0.25">
      <c r="B8" s="3" t="s">
        <v>5</v>
      </c>
      <c r="C8" s="5">
        <v>750</v>
      </c>
    </row>
    <row r="9" spans="2:4" x14ac:dyDescent="0.25">
      <c r="B9" s="3" t="s">
        <v>6</v>
      </c>
      <c r="C9" s="4">
        <v>52</v>
      </c>
    </row>
    <row r="10" spans="2:4" x14ac:dyDescent="0.25">
      <c r="B10" s="3" t="s">
        <v>7</v>
      </c>
      <c r="C10" s="4">
        <v>40</v>
      </c>
    </row>
    <row r="11" spans="2:4" x14ac:dyDescent="0.25">
      <c r="B11" s="3" t="s">
        <v>8</v>
      </c>
      <c r="C11" s="6">
        <v>0.5</v>
      </c>
    </row>
    <row r="12" spans="2:4" x14ac:dyDescent="0.25">
      <c r="B12" s="3" t="s">
        <v>9</v>
      </c>
      <c r="C12" s="7">
        <v>0.3478</v>
      </c>
    </row>
    <row r="13" spans="2:4" x14ac:dyDescent="0.25">
      <c r="B13" s="3" t="s">
        <v>10</v>
      </c>
      <c r="C13" s="8">
        <v>7.5</v>
      </c>
    </row>
    <row r="14" spans="2:4" x14ac:dyDescent="0.25">
      <c r="B14" s="3" t="s">
        <v>11</v>
      </c>
      <c r="C14" s="4">
        <v>500</v>
      </c>
    </row>
    <row r="15" spans="2:4" x14ac:dyDescent="0.25">
      <c r="B15" s="3" t="s">
        <v>12</v>
      </c>
      <c r="C15" s="6">
        <v>0.4</v>
      </c>
    </row>
    <row r="17" spans="2:6" ht="32.85" customHeight="1" x14ac:dyDescent="0.25">
      <c r="B17" s="21"/>
      <c r="C17" s="21"/>
      <c r="D17" s="21"/>
      <c r="E17" s="21"/>
      <c r="F17" s="21"/>
    </row>
    <row r="18" spans="2:6" x14ac:dyDescent="0.25">
      <c r="B18" s="2" t="s">
        <v>13</v>
      </c>
      <c r="C18" s="2"/>
    </row>
    <row r="19" spans="2:6" x14ac:dyDescent="0.25">
      <c r="B19" s="9" t="s">
        <v>14</v>
      </c>
      <c r="C19" s="10">
        <f>C8*C9*C7</f>
        <v>195000</v>
      </c>
    </row>
    <row r="20" spans="2:6" x14ac:dyDescent="0.25">
      <c r="B20" s="9" t="s">
        <v>15</v>
      </c>
      <c r="C20" s="10">
        <f>ROUNDUP(C19/C14,0)</f>
        <v>390</v>
      </c>
    </row>
    <row r="21" spans="2:6" x14ac:dyDescent="0.25">
      <c r="B21" s="9" t="s">
        <v>16</v>
      </c>
      <c r="C21" s="11">
        <f>C20*C13</f>
        <v>2925</v>
      </c>
    </row>
    <row r="22" spans="2:6" x14ac:dyDescent="0.25">
      <c r="B22" s="9" t="s">
        <v>17</v>
      </c>
      <c r="C22" s="10">
        <f>C19*(1-C11)</f>
        <v>97500</v>
      </c>
    </row>
    <row r="23" spans="2:6" x14ac:dyDescent="0.25">
      <c r="B23" s="9" t="s">
        <v>18</v>
      </c>
      <c r="C23" s="10">
        <f>C19*C11</f>
        <v>97500</v>
      </c>
    </row>
    <row r="24" spans="2:6" x14ac:dyDescent="0.25">
      <c r="B24" s="9" t="s">
        <v>19</v>
      </c>
      <c r="C24" s="10">
        <f>C10*C9*C7</f>
        <v>10400</v>
      </c>
    </row>
    <row r="25" spans="2:6" x14ac:dyDescent="0.25">
      <c r="B25" s="9" t="s">
        <v>20</v>
      </c>
      <c r="C25" s="10">
        <f>C24*C15</f>
        <v>4160</v>
      </c>
    </row>
    <row r="26" spans="2:6" x14ac:dyDescent="0.25">
      <c r="B26" s="9" t="s">
        <v>21</v>
      </c>
      <c r="C26" s="10">
        <f>C24-C25</f>
        <v>6240</v>
      </c>
    </row>
  </sheetData>
  <mergeCells count="3">
    <mergeCell ref="B2:D2"/>
    <mergeCell ref="B4:D4"/>
    <mergeCell ref="B17:F1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7"/>
  <sheetViews>
    <sheetView showGridLines="0" zoomScaleNormal="100" workbookViewId="0">
      <selection activeCell="I17" sqref="I17"/>
    </sheetView>
  </sheetViews>
  <sheetFormatPr defaultColWidth="8.7109375" defaultRowHeight="15" x14ac:dyDescent="0.25"/>
  <cols>
    <col min="1" max="1" width="3" customWidth="1"/>
    <col min="2" max="2" width="4" customWidth="1"/>
    <col min="3" max="3" width="34" customWidth="1"/>
    <col min="4" max="4" width="10" customWidth="1"/>
    <col min="5" max="5" width="13" customWidth="1"/>
    <col min="6" max="6" width="14" customWidth="1"/>
    <col min="7" max="7" width="15" customWidth="1"/>
  </cols>
  <sheetData>
    <row r="2" spans="2:7" ht="18" x14ac:dyDescent="0.25">
      <c r="B2" s="19" t="s">
        <v>22</v>
      </c>
      <c r="C2" s="19"/>
      <c r="D2" s="19"/>
      <c r="E2" s="19"/>
      <c r="F2" s="19"/>
    </row>
    <row r="4" spans="2:7" ht="30" x14ac:dyDescent="0.25">
      <c r="B4" s="2" t="s">
        <v>23</v>
      </c>
      <c r="C4" s="2" t="s">
        <v>24</v>
      </c>
      <c r="D4" s="2" t="s">
        <v>25</v>
      </c>
      <c r="E4" s="2" t="s">
        <v>26</v>
      </c>
      <c r="F4" s="2" t="s">
        <v>27</v>
      </c>
      <c r="G4" s="2" t="s">
        <v>28</v>
      </c>
    </row>
    <row r="5" spans="2:7" x14ac:dyDescent="0.25">
      <c r="B5" s="12">
        <v>1</v>
      </c>
      <c r="C5" s="9" t="s">
        <v>29</v>
      </c>
      <c r="D5" s="12" t="s">
        <v>30</v>
      </c>
      <c r="E5" s="8">
        <v>349</v>
      </c>
      <c r="F5" s="4">
        <v>1</v>
      </c>
      <c r="G5" s="11">
        <f t="shared" ref="G5:G12" si="0">E5*F5</f>
        <v>349</v>
      </c>
    </row>
    <row r="6" spans="2:7" x14ac:dyDescent="0.25">
      <c r="B6" s="12">
        <v>2</v>
      </c>
      <c r="C6" s="9" t="s">
        <v>31</v>
      </c>
      <c r="D6" s="12" t="s">
        <v>32</v>
      </c>
      <c r="E6" s="8">
        <v>16</v>
      </c>
      <c r="F6" s="10">
        <f>ROUNDUP(Assumptions!$C$22/6000,0)</f>
        <v>17</v>
      </c>
      <c r="G6" s="11">
        <f t="shared" si="0"/>
        <v>272</v>
      </c>
    </row>
    <row r="7" spans="2:7" x14ac:dyDescent="0.25">
      <c r="B7" s="12">
        <v>3</v>
      </c>
      <c r="C7" s="9" t="s">
        <v>33</v>
      </c>
      <c r="D7" s="12" t="s">
        <v>32</v>
      </c>
      <c r="E7" s="8">
        <v>15</v>
      </c>
      <c r="F7" s="10">
        <f>ROUNDUP(Assumptions!$C$23/7700,0)</f>
        <v>13</v>
      </c>
      <c r="G7" s="11">
        <f t="shared" si="0"/>
        <v>195</v>
      </c>
    </row>
    <row r="8" spans="2:7" x14ac:dyDescent="0.25">
      <c r="B8" s="12">
        <v>4</v>
      </c>
      <c r="C8" s="9" t="s">
        <v>34</v>
      </c>
      <c r="D8" s="12" t="s">
        <v>32</v>
      </c>
      <c r="E8" s="8">
        <v>15</v>
      </c>
      <c r="F8" s="10">
        <f>ROUNDUP(Assumptions!$C$23/7700,0)</f>
        <v>13</v>
      </c>
      <c r="G8" s="11">
        <f t="shared" si="0"/>
        <v>195</v>
      </c>
    </row>
    <row r="9" spans="2:7" x14ac:dyDescent="0.25">
      <c r="B9" s="12">
        <v>5</v>
      </c>
      <c r="C9" s="9" t="s">
        <v>35</v>
      </c>
      <c r="D9" s="12" t="s">
        <v>32</v>
      </c>
      <c r="E9" s="8">
        <v>15</v>
      </c>
      <c r="F9" s="10">
        <f>ROUNDUP(Assumptions!$C$23/7700,0)</f>
        <v>13</v>
      </c>
      <c r="G9" s="11">
        <f t="shared" si="0"/>
        <v>195</v>
      </c>
    </row>
    <row r="10" spans="2:7" x14ac:dyDescent="0.25">
      <c r="B10" s="12">
        <v>6</v>
      </c>
      <c r="C10" s="9" t="s">
        <v>36</v>
      </c>
      <c r="D10" s="12" t="s">
        <v>32</v>
      </c>
      <c r="E10" s="11">
        <f>Assumptions!$C$13</f>
        <v>7.5</v>
      </c>
      <c r="F10" s="10">
        <f>Assumptions!$C$20</f>
        <v>390</v>
      </c>
      <c r="G10" s="11">
        <f t="shared" si="0"/>
        <v>2925</v>
      </c>
    </row>
    <row r="11" spans="2:7" x14ac:dyDescent="0.25">
      <c r="B11" s="12">
        <v>7</v>
      </c>
      <c r="C11" s="9" t="s">
        <v>37</v>
      </c>
      <c r="D11" s="12" t="s">
        <v>32</v>
      </c>
      <c r="E11" s="13">
        <f>Assumptions!$C$12</f>
        <v>0.3478</v>
      </c>
      <c r="F11" s="14">
        <f>Assumptions!$C$25*16/1000</f>
        <v>66.56</v>
      </c>
      <c r="G11" s="11">
        <f t="shared" si="0"/>
        <v>23.149568000000002</v>
      </c>
    </row>
    <row r="12" spans="2:7" x14ac:dyDescent="0.25">
      <c r="B12" s="12">
        <v>8</v>
      </c>
      <c r="C12" s="9" t="s">
        <v>38</v>
      </c>
      <c r="D12" s="12" t="s">
        <v>32</v>
      </c>
      <c r="E12" s="13">
        <f>Assumptions!$C$12</f>
        <v>0.3478</v>
      </c>
      <c r="F12" s="14">
        <f>Assumptions!$C$26*0.6/1000</f>
        <v>3.7440000000000002</v>
      </c>
      <c r="G12" s="11">
        <f t="shared" si="0"/>
        <v>1.3021632000000001</v>
      </c>
    </row>
    <row r="14" spans="2:7" x14ac:dyDescent="0.25">
      <c r="C14" s="22" t="s">
        <v>39</v>
      </c>
      <c r="D14" s="22"/>
      <c r="E14" s="22"/>
      <c r="F14" s="22"/>
      <c r="G14" s="15">
        <f>SUMIF(D5:D12,"Fixed",G5:G12)</f>
        <v>349</v>
      </c>
    </row>
    <row r="15" spans="2:7" x14ac:dyDescent="0.25">
      <c r="C15" s="22" t="s">
        <v>40</v>
      </c>
      <c r="D15" s="22"/>
      <c r="E15" s="22"/>
      <c r="F15" s="22"/>
      <c r="G15" s="15">
        <f>SUMIF(D5:D12,"Variable",G5:G12)</f>
        <v>3806.4517311999998</v>
      </c>
    </row>
    <row r="16" spans="2:7" ht="15.75" x14ac:dyDescent="0.25">
      <c r="C16" s="23" t="s">
        <v>41</v>
      </c>
      <c r="D16" s="23"/>
      <c r="E16" s="23"/>
      <c r="F16" s="23"/>
      <c r="G16" s="16">
        <f>G14+G15</f>
        <v>4155.4517311999998</v>
      </c>
    </row>
    <row r="17" spans="3:7" x14ac:dyDescent="0.25">
      <c r="C17" s="22" t="s">
        <v>42</v>
      </c>
      <c r="D17" s="22"/>
      <c r="E17" s="22"/>
      <c r="F17" s="22"/>
      <c r="G17" s="17">
        <f>G16/Assumptions!$C$19</f>
        <v>2.1310008877948716E-2</v>
      </c>
    </row>
  </sheetData>
  <mergeCells count="5">
    <mergeCell ref="B2:F2"/>
    <mergeCell ref="C14:F14"/>
    <mergeCell ref="C15:F15"/>
    <mergeCell ref="C16:F16"/>
    <mergeCell ref="C17:F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7"/>
  <sheetViews>
    <sheetView showGridLines="0" tabSelected="1" zoomScaleNormal="100" workbookViewId="0"/>
  </sheetViews>
  <sheetFormatPr defaultColWidth="8.7109375" defaultRowHeight="15" x14ac:dyDescent="0.25"/>
  <cols>
    <col min="1" max="1" width="3" customWidth="1"/>
    <col min="2" max="2" width="4" customWidth="1"/>
    <col min="3" max="3" width="34" customWidth="1"/>
    <col min="4" max="4" width="10" customWidth="1"/>
    <col min="5" max="5" width="13" customWidth="1"/>
    <col min="6" max="6" width="14" customWidth="1"/>
    <col min="7" max="7" width="15" customWidth="1"/>
  </cols>
  <sheetData>
    <row r="2" spans="2:7" ht="18" x14ac:dyDescent="0.25">
      <c r="B2" s="19" t="s">
        <v>43</v>
      </c>
      <c r="C2" s="19"/>
      <c r="D2" s="19"/>
      <c r="E2" s="19"/>
      <c r="F2" s="19"/>
    </row>
    <row r="4" spans="2:7" ht="30" x14ac:dyDescent="0.25">
      <c r="B4" s="2" t="s">
        <v>23</v>
      </c>
      <c r="C4" s="2" t="s">
        <v>24</v>
      </c>
      <c r="D4" s="2" t="s">
        <v>25</v>
      </c>
      <c r="E4" s="2" t="s">
        <v>26</v>
      </c>
      <c r="F4" s="2" t="s">
        <v>27</v>
      </c>
      <c r="G4" s="2" t="s">
        <v>28</v>
      </c>
    </row>
    <row r="5" spans="2:7" x14ac:dyDescent="0.25">
      <c r="B5" s="12">
        <v>1</v>
      </c>
      <c r="C5" s="9" t="s">
        <v>29</v>
      </c>
      <c r="D5" s="12" t="s">
        <v>30</v>
      </c>
      <c r="E5" s="8">
        <v>809</v>
      </c>
      <c r="F5" s="4">
        <v>1</v>
      </c>
      <c r="G5" s="11">
        <f t="shared" ref="G5:G12" si="0">E5*F5</f>
        <v>809</v>
      </c>
    </row>
    <row r="6" spans="2:7" x14ac:dyDescent="0.25">
      <c r="B6" s="12">
        <v>2</v>
      </c>
      <c r="C6" s="9" t="s">
        <v>31</v>
      </c>
      <c r="D6" s="12" t="s">
        <v>32</v>
      </c>
      <c r="E6" s="8">
        <v>97.9</v>
      </c>
      <c r="F6" s="10">
        <f>ROUNDUP(Assumptions!$C$22/1300,0)</f>
        <v>75</v>
      </c>
      <c r="G6" s="11">
        <f t="shared" si="0"/>
        <v>7342.5</v>
      </c>
    </row>
    <row r="7" spans="2:7" x14ac:dyDescent="0.25">
      <c r="B7" s="12">
        <v>3</v>
      </c>
      <c r="C7" s="9" t="s">
        <v>33</v>
      </c>
      <c r="D7" s="12" t="s">
        <v>32</v>
      </c>
      <c r="E7" s="8">
        <v>116.7</v>
      </c>
      <c r="F7" s="10">
        <f>ROUNDUP(Assumptions!$C$23/1200,0)</f>
        <v>82</v>
      </c>
      <c r="G7" s="11">
        <f t="shared" si="0"/>
        <v>9569.4</v>
      </c>
    </row>
    <row r="8" spans="2:7" x14ac:dyDescent="0.25">
      <c r="B8" s="12">
        <v>4</v>
      </c>
      <c r="C8" s="9" t="s">
        <v>34</v>
      </c>
      <c r="D8" s="12" t="s">
        <v>32</v>
      </c>
      <c r="E8" s="8">
        <v>116.7</v>
      </c>
      <c r="F8" s="10">
        <f>ROUNDUP(Assumptions!$C$23/1200,0)</f>
        <v>82</v>
      </c>
      <c r="G8" s="11">
        <f t="shared" si="0"/>
        <v>9569.4</v>
      </c>
    </row>
    <row r="9" spans="2:7" x14ac:dyDescent="0.25">
      <c r="B9" s="12">
        <v>5</v>
      </c>
      <c r="C9" s="9" t="s">
        <v>35</v>
      </c>
      <c r="D9" s="12" t="s">
        <v>32</v>
      </c>
      <c r="E9" s="8">
        <v>116.7</v>
      </c>
      <c r="F9" s="10">
        <f>ROUNDUP(Assumptions!$C$23/1200,0)</f>
        <v>82</v>
      </c>
      <c r="G9" s="11">
        <f t="shared" si="0"/>
        <v>9569.4</v>
      </c>
    </row>
    <row r="10" spans="2:7" x14ac:dyDescent="0.25">
      <c r="B10" s="12">
        <v>6</v>
      </c>
      <c r="C10" s="9" t="s">
        <v>36</v>
      </c>
      <c r="D10" s="12" t="s">
        <v>32</v>
      </c>
      <c r="E10" s="11">
        <f>Assumptions!$C$13</f>
        <v>7.5</v>
      </c>
      <c r="F10" s="10">
        <f>Assumptions!$C$20</f>
        <v>390</v>
      </c>
      <c r="G10" s="11">
        <f t="shared" si="0"/>
        <v>2925</v>
      </c>
    </row>
    <row r="11" spans="2:7" x14ac:dyDescent="0.25">
      <c r="B11" s="12">
        <v>7</v>
      </c>
      <c r="C11" s="9" t="s">
        <v>44</v>
      </c>
      <c r="D11" s="12" t="s">
        <v>32</v>
      </c>
      <c r="E11" s="13">
        <f>Assumptions!$C$12</f>
        <v>0.3478</v>
      </c>
      <c r="F11" s="14">
        <f>Assumptions!$C$25*416/1000</f>
        <v>1730.56</v>
      </c>
      <c r="G11" s="11">
        <f t="shared" si="0"/>
        <v>601.88876800000003</v>
      </c>
    </row>
    <row r="12" spans="2:7" x14ac:dyDescent="0.25">
      <c r="B12" s="12">
        <v>8</v>
      </c>
      <c r="C12" s="9" t="s">
        <v>45</v>
      </c>
      <c r="D12" s="12" t="s">
        <v>32</v>
      </c>
      <c r="E12" s="13">
        <f>Assumptions!$C$12</f>
        <v>0.3478</v>
      </c>
      <c r="F12" s="14">
        <f>Assumptions!$C$26*7.6/1000</f>
        <v>47.423999999999999</v>
      </c>
      <c r="G12" s="11">
        <f t="shared" si="0"/>
        <v>16.4940672</v>
      </c>
    </row>
    <row r="14" spans="2:7" x14ac:dyDescent="0.25">
      <c r="C14" s="22" t="s">
        <v>39</v>
      </c>
      <c r="D14" s="22"/>
      <c r="E14" s="22"/>
      <c r="F14" s="22"/>
      <c r="G14" s="15">
        <f>SUMIF(D5:D12,"Fixed",G5:G12)</f>
        <v>809</v>
      </c>
    </row>
    <row r="15" spans="2:7" x14ac:dyDescent="0.25">
      <c r="C15" s="22" t="s">
        <v>40</v>
      </c>
      <c r="D15" s="22"/>
      <c r="E15" s="22"/>
      <c r="F15" s="22"/>
      <c r="G15" s="15">
        <f>SUMIF(D5:D12,"Variable",G5:G12)</f>
        <v>39594.082835200003</v>
      </c>
    </row>
    <row r="16" spans="2:7" ht="15.75" x14ac:dyDescent="0.25">
      <c r="C16" s="23" t="s">
        <v>41</v>
      </c>
      <c r="D16" s="23"/>
      <c r="E16" s="23"/>
      <c r="F16" s="23"/>
      <c r="G16" s="16">
        <f>G14+G15</f>
        <v>40403.082835200003</v>
      </c>
    </row>
    <row r="17" spans="3:7" x14ac:dyDescent="0.25">
      <c r="C17" s="22" t="s">
        <v>42</v>
      </c>
      <c r="D17" s="22"/>
      <c r="E17" s="22"/>
      <c r="F17" s="22"/>
      <c r="G17" s="17">
        <f>G16/Assumptions!$C$19</f>
        <v>0.20719529659076924</v>
      </c>
    </row>
  </sheetData>
  <mergeCells count="5">
    <mergeCell ref="B2:F2"/>
    <mergeCell ref="C14:F14"/>
    <mergeCell ref="C15:F15"/>
    <mergeCell ref="C16:F16"/>
    <mergeCell ref="C17:F1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12"/>
  <sheetViews>
    <sheetView showGridLines="0" zoomScaleNormal="100" workbookViewId="0">
      <selection activeCell="C20" sqref="C20"/>
    </sheetView>
  </sheetViews>
  <sheetFormatPr defaultColWidth="8.7109375" defaultRowHeight="15" x14ac:dyDescent="0.25"/>
  <cols>
    <col min="1" max="1" width="3" customWidth="1"/>
    <col min="2" max="2" width="26" customWidth="1"/>
    <col min="3" max="4" width="24" customWidth="1"/>
  </cols>
  <sheetData>
    <row r="2" spans="2:4" ht="18" x14ac:dyDescent="0.25">
      <c r="B2" s="19" t="s">
        <v>46</v>
      </c>
      <c r="C2" s="19"/>
      <c r="D2" s="19"/>
    </row>
    <row r="4" spans="2:4" ht="30" x14ac:dyDescent="0.25">
      <c r="B4" s="2" t="s">
        <v>47</v>
      </c>
      <c r="C4" s="2" t="s">
        <v>48</v>
      </c>
      <c r="D4" s="2" t="s">
        <v>49</v>
      </c>
    </row>
    <row r="5" spans="2:4" x14ac:dyDescent="0.25">
      <c r="B5" s="18" t="s">
        <v>50</v>
      </c>
      <c r="C5" s="11">
        <f>'Canon PIXMA G3770'!G14</f>
        <v>349</v>
      </c>
      <c r="D5" s="11">
        <f>'HP LaserJet Pro 3303fdw'!G14</f>
        <v>809</v>
      </c>
    </row>
    <row r="6" spans="2:4" x14ac:dyDescent="0.25">
      <c r="B6" s="18" t="s">
        <v>51</v>
      </c>
      <c r="C6" s="11">
        <f>'Canon PIXMA G3770'!G15</f>
        <v>3806.4517311999998</v>
      </c>
      <c r="D6" s="11">
        <f>'HP LaserJet Pro 3303fdw'!G15</f>
        <v>39594.082835200003</v>
      </c>
    </row>
    <row r="7" spans="2:4" x14ac:dyDescent="0.25">
      <c r="B7" s="18" t="s">
        <v>52</v>
      </c>
      <c r="C7" s="11">
        <f>'Canon PIXMA G3770'!G16</f>
        <v>4155.4517311999998</v>
      </c>
      <c r="D7" s="11">
        <f>'HP LaserJet Pro 3303fdw'!G16</f>
        <v>40403.082835200003</v>
      </c>
    </row>
    <row r="8" spans="2:4" x14ac:dyDescent="0.25">
      <c r="B8" s="18" t="s">
        <v>53</v>
      </c>
      <c r="C8" s="13">
        <f>'Canon PIXMA G3770'!G17</f>
        <v>2.1310008877948716E-2</v>
      </c>
      <c r="D8" s="13">
        <f>'HP LaserJet Pro 3303fdw'!G17</f>
        <v>0.20719529659076924</v>
      </c>
    </row>
    <row r="10" spans="2:4" x14ac:dyDescent="0.25">
      <c r="B10" s="1" t="s">
        <v>54</v>
      </c>
      <c r="C10" s="24" t="str">
        <f>IF(C5+C6&lt;D5+D6,"Canon PIXMA G3770","HP LaserJet Pro 3303fdw")</f>
        <v>Canon PIXMA G3770</v>
      </c>
      <c r="D10" s="24"/>
    </row>
    <row r="12" spans="2:4" ht="43.35" customHeight="1" x14ac:dyDescent="0.25">
      <c r="B12" s="21"/>
      <c r="C12" s="21"/>
      <c r="D12" s="21"/>
    </row>
  </sheetData>
  <mergeCells count="3">
    <mergeCell ref="B2:D2"/>
    <mergeCell ref="C10:D10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Canon PIXMA G3770</vt:lpstr>
      <vt:lpstr>HP LaserJet Pro 3303fdw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melody soo</cp:lastModifiedBy>
  <cp:revision>0</cp:revision>
  <dcterms:created xsi:type="dcterms:W3CDTF">2026-07-08T10:34:38Z</dcterms:created>
  <dcterms:modified xsi:type="dcterms:W3CDTF">2026-07-09T08:31:12Z</dcterms:modified>
  <dc:language>en-US</dc:language>
</cp:coreProperties>
</file>