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non PIXMA G3770" sheetId="2" state="visible" r:id="rId4"/>
    <sheet name="HP LaserJet Pro 3303fdw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<sst xmlns="http://schemas.openxmlformats.org/spreadsheetml/2006/main" count="87" uniqueCount="57">
  <si>
    <t xml:space="preserve">TCO Analysis — Assumptions</t>
  </si>
  <si>
    <t xml:space="preserve">Canon PIXMA G3770 (Inkjet) vs HP Color LaserJet Pro MFP 3303fdw (Laser)</t>
  </si>
  <si>
    <t xml:space="preserve">Assumption</t>
  </si>
  <si>
    <t xml:space="preserve">Value</t>
  </si>
  <si>
    <t xml:space="preserve">Comparison period (years)</t>
  </si>
  <si>
    <t xml:space="preserve">Pages printed per week</t>
  </si>
  <si>
    <t xml:space="preserve">Weeks per year</t>
  </si>
  <si>
    <t xml:space="preserve">Power-on time per week (hours)</t>
  </si>
  <si>
    <t xml:space="preserve">Colour / B&amp;W page split</t>
  </si>
  <si>
    <t xml:space="preserve">Electricity rate (S$ per kWh)</t>
  </si>
  <si>
    <t xml:space="preserve">Paper price per ream (500 sheets, S$)</t>
  </si>
  <si>
    <t xml:space="preserve">Sheets per ream</t>
  </si>
  <si>
    <t xml:space="preserve">% of powered-on time actively printing</t>
  </si>
  <si>
    <t xml:space="preserve">Note: the highlighted assumption above is a judgement call — printers are not printing continuously for the full 40 hrs/week, they idle between jobs. State and justify your own % in your written assumptions list (e.g. based on print speed, page volume, or your own reasoning).</t>
  </si>
  <si>
    <t xml:space="preserve">Derived Totals</t>
  </si>
  <si>
    <t xml:space="preserve">Total pages over comparison period</t>
  </si>
  <si>
    <t xml:space="preserve">Reams of paper needed</t>
  </si>
  <si>
    <t xml:space="preserve">Total paper cost (same for both printers)</t>
  </si>
  <si>
    <t xml:space="preserve">Black &amp; white pages</t>
  </si>
  <si>
    <t xml:space="preserve">Colour pages</t>
  </si>
  <si>
    <t xml:space="preserve">Total powered-on hours over period</t>
  </si>
  <si>
    <t xml:space="preserve">Estimated active-printing hours</t>
  </si>
  <si>
    <t xml:space="preserve">Estimated idle/ready hours</t>
  </si>
  <si>
    <t xml:space="preserve">TCO Breakdown — Canon PIXMA G3770 (Inkjet)</t>
  </si>
  <si>
    <t xml:space="preserve">#</t>
  </si>
  <si>
    <t xml:space="preserve">Item Description</t>
  </si>
  <si>
    <t xml:space="preserve">Type</t>
  </si>
  <si>
    <t xml:space="preserve">Unit Price (S$)</t>
  </si>
  <si>
    <t xml:space="preserve">Units Consumed</t>
  </si>
  <si>
    <t xml:space="preserve">Total Cost (S$)</t>
  </si>
  <si>
    <t xml:space="preserve">Printer unit</t>
  </si>
  <si>
    <t xml:space="preserve">Fixed</t>
  </si>
  <si>
    <t xml:space="preserve">Black ink/toner cartridge</t>
  </si>
  <si>
    <t xml:space="preserve">Variable</t>
  </si>
  <si>
    <t xml:space="preserve">Cyan ink/toner cartridge</t>
  </si>
  <si>
    <t xml:space="preserve">Magenta ink/toner cartridge</t>
  </si>
  <si>
    <t xml:space="preserve">Yellow ink/toner cartridge</t>
  </si>
  <si>
    <t xml:space="preserve">A4 Paper (80gsm, 500 sheets/ream)</t>
  </si>
  <si>
    <t xml:space="preserve">Electricity — active printing (16W)</t>
  </si>
  <si>
    <t xml:space="preserve">Electricity — idle/ready (0.6W)</t>
  </si>
  <si>
    <t xml:space="preserve">Total Fixed Costs</t>
  </si>
  <si>
    <t xml:space="preserve">Total Variable Costs</t>
  </si>
  <si>
    <t xml:space="preserve">GRAND TOTAL — TCO over 5 years</t>
  </si>
  <si>
    <t xml:space="preserve">Cost per Page</t>
  </si>
  <si>
    <t xml:space="preserve">TCO Breakdown — HP Color LaserJet Pro MFP 3303fdw (Laser)</t>
  </si>
  <si>
    <t xml:space="preserve">Electricity — active printing (416W)</t>
  </si>
  <si>
    <t xml:space="preserve">Electricity — idle/ready (7.6W)</t>
  </si>
  <si>
    <t xml:space="preserve">TCO Summary — Canon vs HP (5-Year Comparison)</t>
  </si>
  <si>
    <t xml:space="preserve">Metric</t>
  </si>
  <si>
    <t xml:space="preserve">Canon PIXMA G3770</t>
  </si>
  <si>
    <t xml:space="preserve">HP LaserJet Pro 3303fdw</t>
  </si>
  <si>
    <t xml:space="preserve">Fixed Costs (S$)</t>
  </si>
  <si>
    <t xml:space="preserve">Variable Costs (S$)</t>
  </si>
  <si>
    <t xml:space="preserve">Grand Total TCO (S$)</t>
  </si>
  <si>
    <t xml:space="preserve">Cost per Page (S$)</t>
  </si>
  <si>
    <t xml:space="preserve">Lower-TCO printer</t>
  </si>
  <si>
    <t xml:space="preserve">Remaining to-do: confirm/justify the 'active printing %' assumption on the Assumptions tab, then add your written reflection answering the lab brief's questions (which printer has lower TCO and why; would a 5 pages/week home user change the answer; qualitative factors; break-even point; workgroup printer priorities).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</si>
</sst>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%"/>
    <numFmt numFmtId="168" formatCode="\$#,##0.0000"/>
    <numFmt numFmtId="169" formatCode="\$#,##0.00"/>
    <numFmt numFmtId="170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597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3"/>
  </cols>
  <sheetData>
    <row r="2" customFormat="false" ht="17.35" hidden="false" customHeight="false" outlineLevel="0" collapsed="false">
      <c r="B2" s="1" t="s">
        <v>0</v>
      </c>
      <c r="C2" s="1"/>
      <c r="D2" s="1"/>
    </row>
    <row r="4" customFormat="false" ht="15" hidden="false" customHeight="false" outlineLevel="0" collapsed="false">
      <c r="B4" s="2" t="s">
        <v>1</v>
      </c>
      <c r="C4" s="2"/>
      <c r="D4" s="2"/>
    </row>
    <row r="6" customFormat="false" ht="15" hidden="false" customHeight="false" outlineLevel="0" collapsed="false">
      <c r="B6" s="3" t="s">
        <v>2</v>
      </c>
      <c r="C6" s="3" t="s">
        <v>3</v>
      </c>
    </row>
    <row r="7" customFormat="false" ht="15" hidden="false" customHeight="false" outlineLevel="0" collapsed="false">
      <c r="B7" s="4" t="s">
        <v>4</v>
      </c>
      <c r="C7" s="5" t="n">
        <v>5</v>
      </c>
    </row>
    <row r="8" customFormat="false" ht="15" hidden="false" customHeight="false" outlineLevel="0" collapsed="false">
      <c r="B8" s="4" t="s">
        <v>5</v>
      </c>
      <c r="C8" s="6" t="n">
        <v>750</v>
      </c>
    </row>
    <row r="9" customFormat="false" ht="15" hidden="false" customHeight="false" outlineLevel="0" collapsed="false">
      <c r="B9" s="4" t="s">
        <v>6</v>
      </c>
      <c r="C9" s="5" t="n">
        <v>52</v>
      </c>
    </row>
    <row r="10" customFormat="false" ht="15" hidden="false" customHeight="false" outlineLevel="0" collapsed="false">
      <c r="B10" s="4" t="s">
        <v>7</v>
      </c>
      <c r="C10" s="5" t="n">
        <v>40</v>
      </c>
    </row>
    <row r="11" customFormat="false" ht="15" hidden="false" customHeight="false" outlineLevel="0" collapsed="false">
      <c r="B11" s="4" t="s">
        <v>8</v>
      </c>
      <c r="C11" s="7" t="n">
        <v>0.5</v>
      </c>
    </row>
    <row r="12" customFormat="false" ht="15" hidden="false" customHeight="false" outlineLevel="0" collapsed="false">
      <c r="B12" s="4" t="s">
        <v>9</v>
      </c>
      <c r="C12" s="8" t="n">
        <v>0.3478</v>
      </c>
    </row>
    <row r="13" customFormat="false" ht="15" hidden="false" customHeight="false" outlineLevel="0" collapsed="false">
      <c r="B13" s="4" t="s">
        <v>10</v>
      </c>
      <c r="C13" s="9" t="n">
        <v>7.5</v>
      </c>
    </row>
    <row r="14" customFormat="false" ht="15" hidden="false" customHeight="false" outlineLevel="0" collapsed="false">
      <c r="B14" s="4" t="s">
        <v>11</v>
      </c>
      <c r="C14" s="5" t="n">
        <v>500</v>
      </c>
    </row>
    <row r="15" customFormat="false" ht="15" hidden="false" customHeight="false" outlineLevel="0" collapsed="false">
      <c r="B15" s="4" t="s">
        <v>12</v>
      </c>
      <c r="C15" s="7" t="n">
        <v>0.4</v>
      </c>
    </row>
    <row r="17" customFormat="false" ht="32.8" hidden="false" customHeight="true" outlineLevel="0" collapsed="false">
      <c r="B17" s="10" t="s">
        <v>13</v>
      </c>
      <c r="C17" s="10"/>
      <c r="D17" s="10"/>
      <c r="E17" s="10"/>
      <c r="F17" s="10"/>
    </row>
    <row r="18" customFormat="false" ht="15" hidden="false" customHeight="false" outlineLevel="0" collapsed="false">
      <c r="B18" s="3" t="s">
        <v>14</v>
      </c>
      <c r="C18" s="3"/>
    </row>
    <row r="19" customFormat="false" ht="15" hidden="false" customHeight="false" outlineLevel="0" collapsed="false">
      <c r="B19" s="11" t="s">
        <v>15</v>
      </c>
      <c r="C19" s="12" t="n">
        <f aca="false">C8*C9*C7</f>
        <v>195000</v>
      </c>
    </row>
    <row r="20" customFormat="false" ht="15" hidden="false" customHeight="false" outlineLevel="0" collapsed="false">
      <c r="B20" s="11" t="s">
        <v>16</v>
      </c>
      <c r="C20" s="12" t="n">
        <f aca="false">ROUNDUP(C19/C14,0)</f>
        <v>390</v>
      </c>
    </row>
    <row r="21" customFormat="false" ht="15" hidden="false" customHeight="false" outlineLevel="0" collapsed="false">
      <c r="B21" s="11" t="s">
        <v>17</v>
      </c>
      <c r="C21" s="13" t="n">
        <f aca="false">C20*C13</f>
        <v>2925</v>
      </c>
    </row>
    <row r="22" customFormat="false" ht="15" hidden="false" customHeight="false" outlineLevel="0" collapsed="false">
      <c r="B22" s="11" t="s">
        <v>18</v>
      </c>
      <c r="C22" s="12" t="n">
        <f aca="false">C19*(1-C11)</f>
        <v>97500</v>
      </c>
    </row>
    <row r="23" customFormat="false" ht="15" hidden="false" customHeight="false" outlineLevel="0" collapsed="false">
      <c r="B23" s="11" t="s">
        <v>19</v>
      </c>
      <c r="C23" s="12" t="n">
        <f aca="false">C19*C11</f>
        <v>97500</v>
      </c>
    </row>
    <row r="24" customFormat="false" ht="15" hidden="false" customHeight="false" outlineLevel="0" collapsed="false">
      <c r="B24" s="11" t="s">
        <v>20</v>
      </c>
      <c r="C24" s="12" t="n">
        <f aca="false">C10*C9*C7</f>
        <v>10400</v>
      </c>
    </row>
    <row r="25" customFormat="false" ht="15" hidden="false" customHeight="false" outlineLevel="0" collapsed="false">
      <c r="B25" s="11" t="s">
        <v>21</v>
      </c>
      <c r="C25" s="12" t="n">
        <f aca="false">C24*C15</f>
        <v>4160</v>
      </c>
    </row>
    <row r="26" customFormat="false" ht="15" hidden="false" customHeight="false" outlineLevel="0" collapsed="false">
      <c r="B26" s="11" t="s">
        <v>22</v>
      </c>
      <c r="C26" s="12" t="n">
        <f aca="false">C24-C25</f>
        <v>6240</v>
      </c>
    </row>
  </sheetData>
  <mergeCells count="3">
    <mergeCell ref="B2:D2"/>
    <mergeCell ref="B4:D4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</cols>
  <sheetData>
    <row r="2" customFormat="false" ht="17.35" hidden="false" customHeight="false" outlineLevel="0" collapsed="false">
      <c r="B2" s="1" t="s">
        <v>23</v>
      </c>
      <c r="C2" s="1"/>
      <c r="D2" s="1"/>
      <c r="E2" s="1"/>
      <c r="F2" s="1"/>
    </row>
    <row r="4" customFormat="false" ht="26.85" hidden="false" customHeight="false" outlineLevel="0" collapsed="false"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</row>
    <row r="5" customFormat="false" ht="15" hidden="false" customHeight="false" outlineLevel="0" collapsed="false">
      <c r="B5" s="14" t="n">
        <v>1</v>
      </c>
      <c r="C5" s="11" t="s">
        <v>30</v>
      </c>
      <c r="D5" s="14" t="s">
        <v>31</v>
      </c>
      <c r="E5" s="9" t="n">
        <v>349</v>
      </c>
      <c r="F5" s="5" t="n">
        <v>1</v>
      </c>
      <c r="G5" s="13" t="n">
        <f aca="false">E5*F5</f>
        <v>349</v>
      </c>
    </row>
    <row r="6" customFormat="false" ht="15" hidden="false" customHeight="false" outlineLevel="0" collapsed="false">
      <c r="B6" s="14" t="n">
        <v>2</v>
      </c>
      <c r="C6" s="11" t="s">
        <v>32</v>
      </c>
      <c r="D6" s="14" t="s">
        <v>33</v>
      </c>
      <c r="E6" s="9" t="n">
        <v>16</v>
      </c>
      <c r="F6" s="12" t="n">
        <f aca="false">ROUNDUP(Assumptions!$C$22/6000,0)</f>
        <v>17</v>
      </c>
      <c r="G6" s="13" t="n">
        <f aca="false">E6*F6</f>
        <v>272</v>
      </c>
    </row>
    <row r="7" customFormat="false" ht="15" hidden="false" customHeight="false" outlineLevel="0" collapsed="false">
      <c r="B7" s="14" t="n">
        <v>3</v>
      </c>
      <c r="C7" s="11" t="s">
        <v>34</v>
      </c>
      <c r="D7" s="14" t="s">
        <v>33</v>
      </c>
      <c r="E7" s="9" t="n">
        <v>15</v>
      </c>
      <c r="F7" s="12" t="n">
        <f aca="false">ROUNDUP(Assumptions!$C$23/7700,0)</f>
        <v>13</v>
      </c>
      <c r="G7" s="13" t="n">
        <f aca="false">E7*F7</f>
        <v>195</v>
      </c>
    </row>
    <row r="8" customFormat="false" ht="15" hidden="false" customHeight="false" outlineLevel="0" collapsed="false">
      <c r="B8" s="14" t="n">
        <v>4</v>
      </c>
      <c r="C8" s="11" t="s">
        <v>35</v>
      </c>
      <c r="D8" s="14" t="s">
        <v>33</v>
      </c>
      <c r="E8" s="9" t="n">
        <v>15</v>
      </c>
      <c r="F8" s="12" t="n">
        <f aca="false">ROUNDUP(Assumptions!$C$23/7700,0)</f>
        <v>13</v>
      </c>
      <c r="G8" s="13" t="n">
        <f aca="false">E8*F8</f>
        <v>195</v>
      </c>
    </row>
    <row r="9" customFormat="false" ht="15" hidden="false" customHeight="false" outlineLevel="0" collapsed="false">
      <c r="B9" s="14" t="n">
        <v>5</v>
      </c>
      <c r="C9" s="11" t="s">
        <v>36</v>
      </c>
      <c r="D9" s="14" t="s">
        <v>33</v>
      </c>
      <c r="E9" s="9" t="n">
        <v>15</v>
      </c>
      <c r="F9" s="12" t="n">
        <f aca="false">ROUNDUP(Assumptions!$C$23/7700,0)</f>
        <v>13</v>
      </c>
      <c r="G9" s="13" t="n">
        <f aca="false">E9*F9</f>
        <v>195</v>
      </c>
    </row>
    <row r="10" customFormat="false" ht="15" hidden="false" customHeight="false" outlineLevel="0" collapsed="false">
      <c r="B10" s="14" t="n">
        <v>6</v>
      </c>
      <c r="C10" s="11" t="s">
        <v>37</v>
      </c>
      <c r="D10" s="14" t="s">
        <v>33</v>
      </c>
      <c r="E10" s="13" t="n">
        <f aca="false">Assumptions!$C$13</f>
        <v>7.5</v>
      </c>
      <c r="F10" s="12" t="n">
        <f aca="false">Assumptions!$C$20</f>
        <v>390</v>
      </c>
      <c r="G10" s="13" t="n">
        <f aca="false">E10*F10</f>
        <v>2925</v>
      </c>
    </row>
    <row r="11" customFormat="false" ht="15" hidden="false" customHeight="false" outlineLevel="0" collapsed="false">
      <c r="B11" s="14" t="n">
        <v>7</v>
      </c>
      <c r="C11" s="11" t="s">
        <v>38</v>
      </c>
      <c r="D11" s="14" t="s">
        <v>33</v>
      </c>
      <c r="E11" s="15" t="n">
        <f aca="false">Assumptions!$C$12</f>
        <v>0.3478</v>
      </c>
      <c r="F11" s="16" t="n">
        <f aca="false">Assumptions!$C$25*16/1000</f>
        <v>66.56</v>
      </c>
      <c r="G11" s="13" t="n">
        <f aca="false">E11*F11</f>
        <v>23.149568</v>
      </c>
    </row>
    <row r="12" customFormat="false" ht="15" hidden="false" customHeight="false" outlineLevel="0" collapsed="false">
      <c r="B12" s="14" t="n">
        <v>8</v>
      </c>
      <c r="C12" s="11" t="s">
        <v>39</v>
      </c>
      <c r="D12" s="14" t="s">
        <v>33</v>
      </c>
      <c r="E12" s="15" t="n">
        <f aca="false">Assumptions!$C$12</f>
        <v>0.3478</v>
      </c>
      <c r="F12" s="16" t="n">
        <f aca="false">Assumptions!$C$26*0.6/1000</f>
        <v>3.744</v>
      </c>
      <c r="G12" s="13" t="n">
        <f aca="false">E12*F12</f>
        <v>1.3021632</v>
      </c>
    </row>
    <row r="14" customFormat="false" ht="15" hidden="false" customHeight="false" outlineLevel="0" collapsed="false">
      <c r="C14" s="17" t="s">
        <v>40</v>
      </c>
      <c r="D14" s="17"/>
      <c r="E14" s="17"/>
      <c r="F14" s="17"/>
      <c r="G14" s="18" t="n">
        <f aca="false">SUMIF(D5:D12,"Fixed",G5:G12)</f>
        <v>349</v>
      </c>
    </row>
    <row r="15" customFormat="false" ht="15" hidden="false" customHeight="false" outlineLevel="0" collapsed="false">
      <c r="C15" s="17" t="s">
        <v>41</v>
      </c>
      <c r="D15" s="17"/>
      <c r="E15" s="17"/>
      <c r="F15" s="17"/>
      <c r="G15" s="18" t="n">
        <f aca="false">SUMIF(D5:D12,"Variable",G5:G12)</f>
        <v>3806.4517312</v>
      </c>
    </row>
    <row r="16" customFormat="false" ht="15" hidden="false" customHeight="false" outlineLevel="0" collapsed="false">
      <c r="C16" s="19" t="s">
        <v>42</v>
      </c>
      <c r="D16" s="19"/>
      <c r="E16" s="19"/>
      <c r="F16" s="19"/>
      <c r="G16" s="20" t="n">
        <f aca="false">G14+G15</f>
        <v>4155.4517312</v>
      </c>
    </row>
    <row r="17" customFormat="false" ht="15" hidden="false" customHeight="false" outlineLevel="0" collapsed="false">
      <c r="C17" s="17" t="s">
        <v>43</v>
      </c>
      <c r="D17" s="17"/>
      <c r="E17" s="17"/>
      <c r="F17" s="17"/>
      <c r="G17" s="21" t="n">
        <f aca="false">G16/Assumptions!$C$19</f>
        <v>0.0213100088779487</v>
      </c>
    </row>
  </sheetData>
  <mergeCells count="5">
    <mergeCell ref="B2:F2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</cols>
  <sheetData>
    <row r="2" customFormat="false" ht="17.35" hidden="false" customHeight="false" outlineLevel="0" collapsed="false">
      <c r="B2" s="1" t="s">
        <v>44</v>
      </c>
      <c r="C2" s="1"/>
      <c r="D2" s="1"/>
      <c r="E2" s="1"/>
      <c r="F2" s="1"/>
    </row>
    <row r="4" customFormat="false" ht="26.85" hidden="false" customHeight="false" outlineLevel="0" collapsed="false"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</row>
    <row r="5" customFormat="false" ht="15" hidden="false" customHeight="false" outlineLevel="0" collapsed="false">
      <c r="B5" s="14" t="n">
        <v>1</v>
      </c>
      <c r="C5" s="11" t="s">
        <v>30</v>
      </c>
      <c r="D5" s="14" t="s">
        <v>31</v>
      </c>
      <c r="E5" s="9" t="n">
        <v>809</v>
      </c>
      <c r="F5" s="5" t="n">
        <v>1</v>
      </c>
      <c r="G5" s="13" t="n">
        <f aca="false">E5*F5</f>
        <v>809</v>
      </c>
    </row>
    <row r="6" customFormat="false" ht="15" hidden="false" customHeight="false" outlineLevel="0" collapsed="false">
      <c r="B6" s="14" t="n">
        <v>2</v>
      </c>
      <c r="C6" s="11" t="s">
        <v>32</v>
      </c>
      <c r="D6" s="14" t="s">
        <v>33</v>
      </c>
      <c r="E6" s="9" t="n">
        <v>97.9</v>
      </c>
      <c r="F6" s="12" t="n">
        <f aca="false">ROUNDUP(Assumptions!$C$22/1300,0)</f>
        <v>75</v>
      </c>
      <c r="G6" s="13" t="n">
        <f aca="false">E6*F6</f>
        <v>7342.5</v>
      </c>
    </row>
    <row r="7" customFormat="false" ht="15" hidden="false" customHeight="false" outlineLevel="0" collapsed="false">
      <c r="B7" s="14" t="n">
        <v>3</v>
      </c>
      <c r="C7" s="11" t="s">
        <v>34</v>
      </c>
      <c r="D7" s="14" t="s">
        <v>33</v>
      </c>
      <c r="E7" s="9" t="n">
        <v>116.7</v>
      </c>
      <c r="F7" s="12" t="n">
        <f aca="false">ROUNDUP(Assumptions!$C$23/1200,0)</f>
        <v>82</v>
      </c>
      <c r="G7" s="13" t="n">
        <f aca="false">E7*F7</f>
        <v>9569.4</v>
      </c>
    </row>
    <row r="8" customFormat="false" ht="15" hidden="false" customHeight="false" outlineLevel="0" collapsed="false">
      <c r="B8" s="14" t="n">
        <v>4</v>
      </c>
      <c r="C8" s="11" t="s">
        <v>35</v>
      </c>
      <c r="D8" s="14" t="s">
        <v>33</v>
      </c>
      <c r="E8" s="9" t="n">
        <v>116.7</v>
      </c>
      <c r="F8" s="12" t="n">
        <f aca="false">ROUNDUP(Assumptions!$C$23/1200,0)</f>
        <v>82</v>
      </c>
      <c r="G8" s="13" t="n">
        <f aca="false">E8*F8</f>
        <v>9569.4</v>
      </c>
    </row>
    <row r="9" customFormat="false" ht="15" hidden="false" customHeight="false" outlineLevel="0" collapsed="false">
      <c r="B9" s="14" t="n">
        <v>5</v>
      </c>
      <c r="C9" s="11" t="s">
        <v>36</v>
      </c>
      <c r="D9" s="14" t="s">
        <v>33</v>
      </c>
      <c r="E9" s="9" t="n">
        <v>116.7</v>
      </c>
      <c r="F9" s="12" t="n">
        <f aca="false">ROUNDUP(Assumptions!$C$23/1200,0)</f>
        <v>82</v>
      </c>
      <c r="G9" s="13" t="n">
        <f aca="false">E9*F9</f>
        <v>9569.4</v>
      </c>
    </row>
    <row r="10" customFormat="false" ht="15" hidden="false" customHeight="false" outlineLevel="0" collapsed="false">
      <c r="B10" s="14" t="n">
        <v>6</v>
      </c>
      <c r="C10" s="11" t="s">
        <v>37</v>
      </c>
      <c r="D10" s="14" t="s">
        <v>33</v>
      </c>
      <c r="E10" s="13" t="n">
        <f aca="false">Assumptions!$C$13</f>
        <v>7.5</v>
      </c>
      <c r="F10" s="12" t="n">
        <f aca="false">Assumptions!$C$20</f>
        <v>390</v>
      </c>
      <c r="G10" s="13" t="n">
        <f aca="false">E10*F10</f>
        <v>2925</v>
      </c>
    </row>
    <row r="11" customFormat="false" ht="15" hidden="false" customHeight="false" outlineLevel="0" collapsed="false">
      <c r="B11" s="14" t="n">
        <v>7</v>
      </c>
      <c r="C11" s="11" t="s">
        <v>45</v>
      </c>
      <c r="D11" s="14" t="s">
        <v>33</v>
      </c>
      <c r="E11" s="15" t="n">
        <f aca="false">Assumptions!$C$12</f>
        <v>0.3478</v>
      </c>
      <c r="F11" s="16" t="n">
        <f aca="false">Assumptions!$C$25*416/1000</f>
        <v>1730.56</v>
      </c>
      <c r="G11" s="13" t="n">
        <f aca="false">E11*F11</f>
        <v>601.888768</v>
      </c>
    </row>
    <row r="12" customFormat="false" ht="15" hidden="false" customHeight="false" outlineLevel="0" collapsed="false">
      <c r="B12" s="14" t="n">
        <v>8</v>
      </c>
      <c r="C12" s="11" t="s">
        <v>46</v>
      </c>
      <c r="D12" s="14" t="s">
        <v>33</v>
      </c>
      <c r="E12" s="15" t="n">
        <f aca="false">Assumptions!$C$12</f>
        <v>0.3478</v>
      </c>
      <c r="F12" s="16" t="n">
        <f aca="false">Assumptions!$C$26*7.6/1000</f>
        <v>47.424</v>
      </c>
      <c r="G12" s="13" t="n">
        <f aca="false">E12*F12</f>
        <v>16.4940672</v>
      </c>
    </row>
    <row r="14" customFormat="false" ht="15" hidden="false" customHeight="false" outlineLevel="0" collapsed="false">
      <c r="C14" s="17" t="s">
        <v>40</v>
      </c>
      <c r="D14" s="17"/>
      <c r="E14" s="17"/>
      <c r="F14" s="17"/>
      <c r="G14" s="18" t="n">
        <f aca="false">SUMIF(D5:D12,"Fixed",G5:G12)</f>
        <v>809</v>
      </c>
    </row>
    <row r="15" customFormat="false" ht="15" hidden="false" customHeight="false" outlineLevel="0" collapsed="false">
      <c r="C15" s="17" t="s">
        <v>41</v>
      </c>
      <c r="D15" s="17"/>
      <c r="E15" s="17"/>
      <c r="F15" s="17"/>
      <c r="G15" s="18" t="n">
        <f aca="false">SUMIF(D5:D12,"Variable",G5:G12)</f>
        <v>39594.0828352</v>
      </c>
    </row>
    <row r="16" customFormat="false" ht="15" hidden="false" customHeight="false" outlineLevel="0" collapsed="false">
      <c r="C16" s="19" t="s">
        <v>42</v>
      </c>
      <c r="D16" s="19"/>
      <c r="E16" s="19"/>
      <c r="F16" s="19"/>
      <c r="G16" s="20" t="n">
        <f aca="false">G14+G15</f>
        <v>40403.0828352</v>
      </c>
    </row>
    <row r="17" customFormat="false" ht="15" hidden="false" customHeight="false" outlineLevel="0" collapsed="false">
      <c r="C17" s="17" t="s">
        <v>43</v>
      </c>
      <c r="D17" s="17"/>
      <c r="E17" s="17"/>
      <c r="F17" s="17"/>
      <c r="G17" s="21" t="n">
        <f aca="false">G16/Assumptions!$C$19</f>
        <v>0.207195296590769</v>
      </c>
    </row>
  </sheetData>
  <mergeCells count="5">
    <mergeCell ref="B2:F2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24"/>
  </cols>
  <sheetData>
    <row r="2" customFormat="false" ht="17.35" hidden="false" customHeight="false" outlineLevel="0" collapsed="false">
      <c r="B2" s="1" t="s">
        <v>47</v>
      </c>
      <c r="C2" s="1"/>
      <c r="D2" s="1"/>
    </row>
    <row r="4" customFormat="false" ht="26.85" hidden="false" customHeight="false" outlineLevel="0" collapsed="false">
      <c r="B4" s="3" t="s">
        <v>48</v>
      </c>
      <c r="C4" s="3" t="s">
        <v>49</v>
      </c>
      <c r="D4" s="3" t="s">
        <v>50</v>
      </c>
    </row>
    <row r="5" customFormat="false" ht="15" hidden="false" customHeight="false" outlineLevel="0" collapsed="false">
      <c r="B5" s="22" t="s">
        <v>51</v>
      </c>
      <c r="C5" s="13" t="n">
        <f aca="false">'Canon PIXMA G3770'!G14</f>
        <v>349</v>
      </c>
      <c r="D5" s="13" t="n">
        <f aca="false">'HP LaserJet Pro 3303fdw'!G14</f>
        <v>809</v>
      </c>
    </row>
    <row r="6" customFormat="false" ht="15" hidden="false" customHeight="false" outlineLevel="0" collapsed="false">
      <c r="B6" s="22" t="s">
        <v>52</v>
      </c>
      <c r="C6" s="13" t="n">
        <f aca="false">'Canon PIXMA G3770'!G15</f>
        <v>3806.4517312</v>
      </c>
      <c r="D6" s="13" t="n">
        <f aca="false">'HP LaserJet Pro 3303fdw'!G15</f>
        <v>39594.0828352</v>
      </c>
    </row>
    <row r="7" customFormat="false" ht="15" hidden="false" customHeight="false" outlineLevel="0" collapsed="false">
      <c r="B7" s="22" t="s">
        <v>53</v>
      </c>
      <c r="C7" s="13" t="n">
        <f aca="false">'Canon PIXMA G3770'!G16</f>
        <v>4155.4517312</v>
      </c>
      <c r="D7" s="13" t="n">
        <f aca="false">'HP LaserJet Pro 3303fdw'!G16</f>
        <v>40403.0828352</v>
      </c>
    </row>
    <row r="8" customFormat="false" ht="15" hidden="false" customHeight="false" outlineLevel="0" collapsed="false">
      <c r="B8" s="22" t="s">
        <v>54</v>
      </c>
      <c r="C8" s="15" t="n">
        <f aca="false">'Canon PIXMA G3770'!G17</f>
        <v>0.0213100088779487</v>
      </c>
      <c r="D8" s="15" t="n">
        <f aca="false">'HP LaserJet Pro 3303fdw'!G17</f>
        <v>0.207195296590769</v>
      </c>
    </row>
    <row r="10" customFormat="false" ht="15" hidden="false" customHeight="false" outlineLevel="0" collapsed="false">
      <c r="B10" s="23" t="s">
        <v>55</v>
      </c>
      <c r="C10" s="24" t="str">
        <f aca="false">IF(C5+C6&lt;D5+D6,"Canon PIXMA G3770","HP LaserJet Pro 3303fdw")</f>
        <v>Canon PIXMA G3770</v>
      </c>
      <c r="D10" s="24"/>
    </row>
    <row r="12" customFormat="false" ht="43.25" hidden="false" customHeight="true" outlineLevel="0" collapsed="false">
      <c r="B12" s="10" t="s">
        <v>56</v>
      </c>
      <c r="C12" s="10"/>
      <c r="D12" s="10"/>
    </row>
  </sheetData>
  <mergeCells count="3">
    <mergeCell ref="B2:D2"/>
    <mergeCell ref="C10:D10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2026-07-08T10:34:38Z</dcterms:created>
  <dc:creator>openpyxl</dc:creator>
  <dc:description/>
  <dc:language>en-US</dc:language>
  <cp:lastModifiedBy/>
  <dcterms:modified xsi:type="dcterms:W3CDTF">2026-07-08T10:34:38Z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